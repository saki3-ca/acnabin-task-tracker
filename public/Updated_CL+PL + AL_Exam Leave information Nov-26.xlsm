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aima\Downloads\"/>
    </mc:Choice>
  </mc:AlternateContent>
  <xr:revisionPtr revIDLastSave="0" documentId="13_ncr:1_{61B61625-551A-46BA-B5CE-282D89179E2C}" xr6:coauthVersionLast="47" xr6:coauthVersionMax="47" xr10:uidLastSave="{00000000-0000-0000-0000-000000000000}"/>
  <bookViews>
    <workbookView xWindow="-120" yWindow="-120" windowWidth="20730" windowHeight="11040" xr2:uid="{519E59A8-7089-4CAF-B3FD-FF4E54D253E3}"/>
  </bookViews>
  <sheets>
    <sheet name="CL + PL &amp; AL Level Leave Info." sheetId="1" r:id="rId1"/>
  </sheets>
  <definedNames>
    <definedName name="_xlnm._FilterDatabase" localSheetId="0" hidden="1">'CL + PL &amp; AL Level Leave Info.'!$B$19:$CB$37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1" l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20" i="1"/>
  <c r="AT23" i="1"/>
  <c r="AT29" i="1"/>
  <c r="AT25" i="1"/>
  <c r="AK37" i="1"/>
  <c r="AK18" i="1" s="1"/>
  <c r="AS37" i="1"/>
  <c r="AS18" i="1" s="1"/>
  <c r="AR37" i="1"/>
  <c r="AR18" i="1" s="1"/>
  <c r="AQ37" i="1"/>
  <c r="AQ18" i="1" s="1"/>
  <c r="AP37" i="1"/>
  <c r="AO37" i="1"/>
  <c r="AO18" i="1" s="1"/>
  <c r="AN37" i="1"/>
  <c r="AN18" i="1" s="1"/>
  <c r="AM37" i="1"/>
  <c r="AM18" i="1" s="1"/>
  <c r="AL37" i="1"/>
  <c r="AL18" i="1" s="1"/>
  <c r="AT21" i="1"/>
  <c r="AT22" i="1"/>
  <c r="AT24" i="1"/>
  <c r="AT26" i="1"/>
  <c r="AT27" i="1"/>
  <c r="AT28" i="1"/>
  <c r="AT30" i="1"/>
  <c r="AT31" i="1"/>
  <c r="AT32" i="1"/>
  <c r="AT33" i="1"/>
  <c r="AT34" i="1"/>
  <c r="AT35" i="1"/>
  <c r="AT20" i="1"/>
  <c r="K37" i="1"/>
  <c r="K18" i="1" s="1"/>
  <c r="L37" i="1"/>
  <c r="L18" i="1" s="1"/>
  <c r="M37" i="1"/>
  <c r="M18" i="1" s="1"/>
  <c r="O37" i="1"/>
  <c r="O18" i="1" s="1"/>
  <c r="P37" i="1"/>
  <c r="P18" i="1" s="1"/>
  <c r="Q37" i="1"/>
  <c r="Q18" i="1" s="1"/>
  <c r="R37" i="1"/>
  <c r="R18" i="1" s="1"/>
  <c r="S37" i="1"/>
  <c r="S18" i="1" s="1"/>
  <c r="T37" i="1"/>
  <c r="T18" i="1" s="1"/>
  <c r="V37" i="1"/>
  <c r="V18" i="1" s="1"/>
  <c r="W37" i="1"/>
  <c r="W18" i="1" s="1"/>
  <c r="X37" i="1"/>
  <c r="X18" i="1" s="1"/>
  <c r="Y37" i="1"/>
  <c r="Y18" i="1" s="1"/>
  <c r="Z37" i="1"/>
  <c r="Z18" i="1" s="1"/>
  <c r="AA37" i="1"/>
  <c r="AA18" i="1" s="1"/>
  <c r="AC37" i="1"/>
  <c r="AC18" i="1" s="1"/>
  <c r="AD37" i="1"/>
  <c r="AD18" i="1" s="1"/>
  <c r="AE37" i="1"/>
  <c r="AE18" i="1" s="1"/>
  <c r="AF37" i="1"/>
  <c r="AF18" i="1" s="1"/>
  <c r="AG37" i="1"/>
  <c r="AG18" i="1" s="1"/>
  <c r="AH37" i="1"/>
  <c r="AH18" i="1" s="1"/>
  <c r="AJ37" i="1"/>
  <c r="AJ18" i="1" s="1"/>
  <c r="J37" i="1"/>
  <c r="J18" i="1" s="1"/>
</calcChain>
</file>

<file path=xl/sharedStrings.xml><?xml version="1.0" encoding="utf-8"?>
<sst xmlns="http://schemas.openxmlformats.org/spreadsheetml/2006/main" count="127" uniqueCount="87">
  <si>
    <t>Exam Schedule as per ICAB Routine</t>
  </si>
  <si>
    <t>Subject</t>
  </si>
  <si>
    <t>Date</t>
  </si>
  <si>
    <t>A&amp;A</t>
  </si>
  <si>
    <t>Off Day</t>
  </si>
  <si>
    <t>Tax</t>
  </si>
  <si>
    <t>IT</t>
  </si>
  <si>
    <t>SL</t>
  </si>
  <si>
    <t>Name</t>
  </si>
  <si>
    <t>Level</t>
  </si>
  <si>
    <t>Total leave Days</t>
  </si>
  <si>
    <t>Leave Start Day</t>
  </si>
  <si>
    <t>Appear in Last Exam Date</t>
  </si>
  <si>
    <t>Naima S K Motaleb</t>
  </si>
  <si>
    <t>Total</t>
  </si>
  <si>
    <t>Md. Rajiur Rahaman Hridoy</t>
  </si>
  <si>
    <t>FAR</t>
  </si>
  <si>
    <t>LAW</t>
  </si>
  <si>
    <t>CR</t>
  </si>
  <si>
    <t>FM</t>
  </si>
  <si>
    <t>BST</t>
  </si>
  <si>
    <t>SBM</t>
  </si>
  <si>
    <t>CS</t>
  </si>
  <si>
    <t>Md. Hasanul Haque</t>
  </si>
  <si>
    <t>Mirza Jamil Haider</t>
  </si>
  <si>
    <t>Syed Abu Talha Islam</t>
  </si>
  <si>
    <t>Sadman Sakib Shourov</t>
  </si>
  <si>
    <t>Abdullah Al Nahian</t>
  </si>
  <si>
    <t>Zahana Islam</t>
  </si>
  <si>
    <t>Abdul Kader</t>
  </si>
  <si>
    <t>Md. Abu Aksum Saifee</t>
  </si>
  <si>
    <t>Md. Ashraf Hossain Emon</t>
  </si>
  <si>
    <t>Morshedul Islam</t>
  </si>
  <si>
    <t>Anwar Hossain</t>
  </si>
  <si>
    <t>AL</t>
  </si>
  <si>
    <t>PL</t>
  </si>
  <si>
    <t>1. Audit (2nd)
2. IT (1st)</t>
  </si>
  <si>
    <t>1. Audit (2nd)
2. BS (1st)
3. FM (3rd)
4. Tax (1st)</t>
  </si>
  <si>
    <t>1. Audit (2nd) 
2. FM (1st) 
3. BS (1st) 
4. IT (1st)</t>
  </si>
  <si>
    <t>1. FAR (1st) 
2. FM (2nd) 
3. BS (2nd) 
4. CLP (2nd)</t>
  </si>
  <si>
    <t>1. Audit (1st)
2. BST(1st)</t>
  </si>
  <si>
    <t>1. Audit (2nd)
2. BS (2nd)
3. IT (2nd)"</t>
  </si>
  <si>
    <t>1. FAR, 
2. Law</t>
  </si>
  <si>
    <t>1. FAR (2nd), 
2. FM (2nd),
3. BS (2nd), 
4. Law (2nd), 
5. Tax (2nd)</t>
  </si>
  <si>
    <t>1. Audit (3rd)
2. FM (3rd)
3. FAR (3rd)</t>
  </si>
  <si>
    <r>
      <t xml:space="preserve">Maksudul Alam Chowdhury </t>
    </r>
    <r>
      <rPr>
        <b/>
        <sz val="10"/>
        <color theme="1"/>
        <rFont val="Times New Roman"/>
        <family val="1"/>
      </rPr>
      <t>(DM)</t>
    </r>
  </si>
  <si>
    <r>
      <t>Md Masum</t>
    </r>
    <r>
      <rPr>
        <b/>
        <sz val="10"/>
        <color theme="1"/>
        <rFont val="Times New Roman"/>
        <family val="1"/>
      </rPr>
      <t xml:space="preserve"> (SAM)</t>
    </r>
  </si>
  <si>
    <t xml:space="preserve">1. Audit &amp; Assurance (3rd);
2. Business Strategy and Technology (2nd); 
3. Financial Accounting &amp; Reporting (1st) </t>
  </si>
  <si>
    <t>6 Days</t>
  </si>
  <si>
    <t>20 Days</t>
  </si>
  <si>
    <t>12 Days</t>
  </si>
  <si>
    <t>10 Days</t>
  </si>
  <si>
    <t>9 Days</t>
  </si>
  <si>
    <t>17 Days</t>
  </si>
  <si>
    <t>19 Days</t>
  </si>
  <si>
    <t>Shayel Khan</t>
  </si>
  <si>
    <t>OFF Day</t>
  </si>
  <si>
    <t>Study Leave</t>
  </si>
  <si>
    <t>Rotation</t>
  </si>
  <si>
    <t>1. CR
2. Case Study</t>
  </si>
  <si>
    <t>Subjects</t>
  </si>
  <si>
    <t>1.BS
2. Tax</t>
  </si>
  <si>
    <t>PL lasr Exam</t>
  </si>
  <si>
    <t xml:space="preserve">1. MI (1ST), 
2. Tax (1st),
3. IT (1st), 
</t>
  </si>
  <si>
    <r>
      <rPr>
        <b/>
        <sz val="10"/>
        <color theme="1"/>
        <rFont val="Times New Roman"/>
        <family val="1"/>
      </rPr>
      <t>PL</t>
    </r>
    <r>
      <rPr>
        <sz val="10"/>
        <color theme="1"/>
        <rFont val="Times New Roman"/>
        <family val="1"/>
      </rPr>
      <t xml:space="preserve">
1. BS (1st)
2. IT (1st)
</t>
    </r>
    <r>
      <rPr>
        <b/>
        <sz val="10"/>
        <color theme="1"/>
        <rFont val="Times New Roman"/>
        <family val="1"/>
      </rPr>
      <t xml:space="preserve">CL
</t>
    </r>
    <r>
      <rPr>
        <sz val="10"/>
        <color theme="1"/>
        <rFont val="Times New Roman"/>
        <family val="1"/>
      </rPr>
      <t>1.Assurance (3rd)
2. BL (3rd)</t>
    </r>
  </si>
  <si>
    <t>PL 10 Days and CL 4 days</t>
  </si>
  <si>
    <t>PL 18 Days &amp; CL 1 Day</t>
  </si>
  <si>
    <r>
      <rPr>
        <b/>
        <sz val="10"/>
        <color theme="1"/>
        <rFont val="Times New Roman"/>
        <family val="1"/>
      </rPr>
      <t xml:space="preserve">PL
</t>
    </r>
    <r>
      <rPr>
        <sz val="10"/>
        <color theme="1"/>
        <rFont val="Times New Roman"/>
        <family val="1"/>
      </rPr>
      <t xml:space="preserve">1. Audit (2nd)
2. FAR (2nd)
3. BS (1st)
4. IT (1st)
</t>
    </r>
    <r>
      <rPr>
        <b/>
        <sz val="10"/>
        <color theme="1"/>
        <rFont val="Times New Roman"/>
        <family val="1"/>
      </rPr>
      <t xml:space="preserve">CL
</t>
    </r>
    <r>
      <rPr>
        <sz val="10"/>
        <color theme="1"/>
        <rFont val="Times New Roman"/>
        <family val="1"/>
      </rPr>
      <t>1. BL (4th)</t>
    </r>
  </si>
  <si>
    <t>19/11/2026 and 29/11/26</t>
  </si>
  <si>
    <t>19/11/2026 
22/11/26-23/11/26,
28/11/26 to 29/11/26</t>
  </si>
  <si>
    <t>CL</t>
  </si>
  <si>
    <t>PL  Novemeber'26</t>
  </si>
  <si>
    <t>AL  Novemeber'26</t>
  </si>
  <si>
    <t>Rubaiya Islam</t>
  </si>
  <si>
    <t>CSM</t>
  </si>
  <si>
    <t>Category</t>
  </si>
  <si>
    <t>Team A (Mirza)</t>
  </si>
  <si>
    <t>Team B (Shourab bhai )</t>
  </si>
  <si>
    <t>Team C ( Talha)</t>
  </si>
  <si>
    <t>Employee</t>
  </si>
  <si>
    <t>CL  &amp; PL</t>
  </si>
  <si>
    <t>Available Manpower</t>
  </si>
  <si>
    <t>CL Level  December'25</t>
  </si>
  <si>
    <t>Acc</t>
  </si>
  <si>
    <t>BF</t>
  </si>
  <si>
    <t>MI</t>
  </si>
  <si>
    <t>Law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</si>
</sst>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"/>
    <numFmt numFmtId="165" formatCode="[$-409]d\-mmm\-yy;@"/>
    <numFmt numFmtId="166" formatCode="[$-409]dd\-mmm\-yy;@"/>
  </numFmts>
  <fonts count="20">
    <font>
      <sz val="11"/>
      <color theme="1"/>
      <name val="Calibri"/>
      <family val="2"/>
      <scheme val="minor"/>
    </font>
    <font>
      <b/>
      <sz val="22"/>
      <color theme="1"/>
      <name val="Calibri"/>
      <family val="2"/>
    </font>
    <font>
      <sz val="11"/>
      <name val="Calibri"/>
      <family val="2"/>
    </font>
    <font>
      <sz val="16"/>
      <color theme="1"/>
      <name val="Calibri"/>
      <family val="2"/>
    </font>
    <font>
      <sz val="14"/>
      <color theme="1"/>
      <name val="Arial"/>
      <family val="2"/>
    </font>
    <font>
      <sz val="16"/>
      <color theme="0"/>
      <name val="Calibri"/>
      <family val="2"/>
    </font>
    <font>
      <sz val="12"/>
      <color theme="1"/>
      <name val="Times New Roman"/>
      <family val="1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Tahoma"/>
      <family val="2"/>
    </font>
    <font>
      <b/>
      <sz val="22"/>
      <color indexed="8"/>
      <name val="Calibri"/>
      <charset val="134"/>
    </font>
    <font>
      <sz val="16"/>
      <color indexed="8"/>
      <name val="Calibri"/>
      <charset val="134"/>
    </font>
    <font>
      <sz val="16"/>
      <color indexed="9"/>
      <name val="Calibri"/>
      <charset val="134"/>
    </font>
  </fonts>
  <fills count="19">
    <fill>
      <patternFill patternType="none"/>
    </fill>
    <fill>
      <patternFill patternType="gray125"/>
    </fill>
    <fill>
      <patternFill patternType="solid">
        <fgColor rgb="FF9CC2E5"/>
        <bgColor rgb="FF9CC2E5"/>
      </patternFill>
    </fill>
    <fill>
      <patternFill patternType="solid">
        <fgColor theme="0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E9642F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E9642F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CC2E5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4" xfId="0" applyFont="1" applyBorder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3" fillId="0" borderId="5" xfId="0" applyFont="1" applyBorder="1" applyAlignment="1">
      <alignment vertical="center"/>
    </xf>
    <xf numFmtId="165" fontId="4" fillId="0" borderId="0" xfId="0" applyNumberFormat="1" applyFont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0" fillId="8" borderId="6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left" vertical="center" wrapText="1"/>
    </xf>
    <xf numFmtId="15" fontId="10" fillId="8" borderId="6" xfId="0" applyNumberFormat="1" applyFont="1" applyFill="1" applyBorder="1" applyAlignment="1">
      <alignment horizontal="left" vertical="center" wrapText="1"/>
    </xf>
    <xf numFmtId="0" fontId="6" fillId="8" borderId="6" xfId="0" applyFont="1" applyFill="1" applyBorder="1" applyAlignment="1">
      <alignment horizontal="center" vertical="center"/>
    </xf>
    <xf numFmtId="15" fontId="10" fillId="8" borderId="6" xfId="0" applyNumberFormat="1" applyFont="1" applyFill="1" applyBorder="1" applyAlignment="1">
      <alignment horizontal="center" vertical="center" wrapText="1"/>
    </xf>
    <xf numFmtId="0" fontId="10" fillId="8" borderId="6" xfId="0" applyFont="1" applyFill="1" applyBorder="1" applyAlignment="1">
      <alignment vertical="center" wrapText="1"/>
    </xf>
    <xf numFmtId="0" fontId="6" fillId="9" borderId="6" xfId="0" applyFont="1" applyFill="1" applyBorder="1" applyAlignment="1">
      <alignment horizontal="center" vertical="center"/>
    </xf>
    <xf numFmtId="15" fontId="7" fillId="8" borderId="6" xfId="0" applyNumberFormat="1" applyFont="1" applyFill="1" applyBorder="1" applyAlignment="1">
      <alignment horizontal="center" vertical="center" wrapText="1"/>
    </xf>
    <xf numFmtId="0" fontId="0" fillId="10" borderId="0" xfId="0" applyFill="1"/>
    <xf numFmtId="0" fontId="12" fillId="7" borderId="9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/>
    </xf>
    <xf numFmtId="0" fontId="12" fillId="11" borderId="6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8" fillId="12" borderId="6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9" fillId="5" borderId="11" xfId="0" applyFont="1" applyFill="1" applyBorder="1" applyAlignment="1">
      <alignment horizontal="center" vertical="center" wrapText="1"/>
    </xf>
    <xf numFmtId="165" fontId="9" fillId="6" borderId="12" xfId="0" applyNumberFormat="1" applyFont="1" applyFill="1" applyBorder="1" applyAlignment="1">
      <alignment horizontal="center" vertical="center"/>
    </xf>
    <xf numFmtId="166" fontId="9" fillId="6" borderId="13" xfId="0" applyNumberFormat="1" applyFont="1" applyFill="1" applyBorder="1" applyAlignment="1">
      <alignment horizontal="center" vertical="center"/>
    </xf>
    <xf numFmtId="165" fontId="9" fillId="4" borderId="11" xfId="0" applyNumberFormat="1" applyFont="1" applyFill="1" applyBorder="1" applyAlignment="1">
      <alignment horizontal="center" vertical="center" textRotation="90"/>
    </xf>
    <xf numFmtId="165" fontId="9" fillId="5" borderId="11" xfId="0" applyNumberFormat="1" applyFont="1" applyFill="1" applyBorder="1" applyAlignment="1">
      <alignment horizontal="center" vertical="center" textRotation="90"/>
    </xf>
    <xf numFmtId="0" fontId="0" fillId="0" borderId="6" xfId="0" applyBorder="1"/>
    <xf numFmtId="0" fontId="0" fillId="0" borderId="6" xfId="0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65" fontId="9" fillId="14" borderId="11" xfId="0" applyNumberFormat="1" applyFont="1" applyFill="1" applyBorder="1" applyAlignment="1">
      <alignment horizontal="center" vertical="center" textRotation="90"/>
    </xf>
    <xf numFmtId="0" fontId="12" fillId="4" borderId="6" xfId="0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0" fontId="6" fillId="15" borderId="6" xfId="0" applyFont="1" applyFill="1" applyBorder="1" applyAlignment="1">
      <alignment horizontal="left" vertical="center" wrapText="1"/>
    </xf>
    <xf numFmtId="0" fontId="16" fillId="16" borderId="0" xfId="0" applyFont="1" applyFill="1" applyAlignment="1">
      <alignment horizontal="center" textRotation="90" wrapText="1"/>
    </xf>
    <xf numFmtId="0" fontId="6" fillId="9" borderId="6" xfId="0" applyFont="1" applyFill="1" applyBorder="1" applyAlignment="1">
      <alignment horizontal="center" vertical="center" wrapText="1"/>
    </xf>
    <xf numFmtId="0" fontId="12" fillId="14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3" fillId="4" borderId="7" xfId="0" applyFont="1" applyFill="1" applyBorder="1" applyAlignment="1">
      <alignment horizontal="center" wrapText="1"/>
    </xf>
    <xf numFmtId="0" fontId="3" fillId="4" borderId="8" xfId="0" applyFont="1" applyFill="1" applyBorder="1" applyAlignment="1">
      <alignment horizontal="center" wrapText="1"/>
    </xf>
    <xf numFmtId="0" fontId="3" fillId="4" borderId="14" xfId="0" applyFont="1" applyFill="1" applyBorder="1" applyAlignment="1">
      <alignment horizontal="center" wrapText="1"/>
    </xf>
    <xf numFmtId="0" fontId="8" fillId="4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17" fillId="17" borderId="1" xfId="0" applyNumberFormat="1" applyFont="1" applyFill="1" applyBorder="1" applyAlignment="1" applyProtection="1">
      <alignment horizontal="center" vertical="center"/>
    </xf>
    <xf numFmtId="0" fontId="17" fillId="17" borderId="3" xfId="0" applyNumberFormat="1" applyFont="1" applyFill="1" applyBorder="1" applyAlignment="1" applyProtection="1">
      <alignment horizontal="center" vertical="center"/>
    </xf>
    <xf numFmtId="0" fontId="17" fillId="17" borderId="2" xfId="0" applyNumberFormat="1" applyFont="1" applyFill="1" applyBorder="1" applyAlignment="1" applyProtection="1">
      <alignment horizontal="center" vertical="center"/>
    </xf>
    <xf numFmtId="0" fontId="17" fillId="0" borderId="4" xfId="0" applyNumberFormat="1" applyFont="1" applyFill="1" applyBorder="1" applyAlignment="1" applyProtection="1">
      <alignment vertical="center"/>
    </xf>
    <xf numFmtId="0" fontId="17" fillId="18" borderId="4" xfId="0" applyNumberFormat="1" applyFont="1" applyFill="1" applyBorder="1" applyAlignment="1" applyProtection="1">
      <alignment horizontal="center" vertical="center"/>
    </xf>
    <xf numFmtId="0" fontId="17" fillId="0" borderId="4" xfId="0" applyNumberFormat="1" applyFont="1" applyFill="1" applyBorder="1" applyAlignment="1" applyProtection="1">
      <alignment horizontal="center" vertical="center"/>
    </xf>
    <xf numFmtId="0" fontId="18" fillId="0" borderId="4" xfId="0" applyNumberFormat="1" applyFont="1" applyFill="1" applyBorder="1" applyAlignment="1" applyProtection="1">
      <alignment vertical="center"/>
    </xf>
    <xf numFmtId="0" fontId="18" fillId="18" borderId="4" xfId="0" applyNumberFormat="1" applyFont="1" applyFill="1" applyBorder="1" applyAlignment="1" applyProtection="1">
      <alignment horizontal="center" vertical="center"/>
    </xf>
    <xf numFmtId="0" fontId="18" fillId="18" borderId="4" xfId="0" applyNumberFormat="1" applyFont="1" applyFill="1" applyBorder="1" applyAlignment="1" applyProtection="1">
      <alignment vertical="center"/>
    </xf>
    <xf numFmtId="0" fontId="19" fillId="18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vertical="center"/>
    </xf>
    <xf numFmtId="0" fontId="18" fillId="4" borderId="3" xfId="0" applyNumberFormat="1" applyFont="1" applyFill="1" applyBorder="1" applyAlignment="1" applyProtection="1">
      <alignment vertical="center"/>
    </xf>
    <xf numFmtId="0" fontId="18" fillId="0" borderId="5" xfId="0" applyNumberFormat="1" applyFont="1" applyFill="1" applyBorder="1" applyAlignment="1" applyProtection="1">
      <alignment vertical="center"/>
    </xf>
    <xf numFmtId="0" fontId="18" fillId="18" borderId="5" xfId="0" applyNumberFormat="1" applyFont="1" applyFill="1" applyBorder="1" applyAlignment="1" applyProtection="1">
      <alignment horizontal="center" vertical="center"/>
    </xf>
    <xf numFmtId="0" fontId="18" fillId="18" borderId="16" xfId="0" applyNumberFormat="1" applyFont="1" applyFill="1" applyBorder="1" applyAlignment="1" applyProtection="1">
      <alignment horizontal="center" vertical="center"/>
    </xf>
    <xf numFmtId="0" fontId="17" fillId="17" borderId="1" xfId="0" applyNumberFormat="1" applyFont="1" applyFill="1" applyBorder="1" applyAlignment="1" applyProtection="1">
      <alignment horizontal="center" vertical="center" wrapText="1"/>
    </xf>
    <xf numFmtId="0" fontId="17" fillId="17" borderId="2" xfId="0" applyNumberFormat="1" applyFont="1" applyFill="1" applyBorder="1" applyAlignment="1" applyProtection="1">
      <alignment horizontal="center" vertical="center" wrapText="1"/>
    </xf>
    <xf numFmtId="0" fontId="17" fillId="17" borderId="3" xfId="0" applyNumberFormat="1" applyFont="1" applyFill="1" applyBorder="1" applyAlignment="1" applyProtection="1">
      <alignment horizontal="center" vertical="center" wrapText="1"/>
    </xf>
    <xf numFmtId="0" fontId="18" fillId="0" borderId="16" xfId="0" applyNumberFormat="1" applyFont="1" applyFill="1" applyBorder="1" applyAlignment="1" applyProtection="1">
      <alignment horizontal="left" vertical="center"/>
    </xf>
    <xf numFmtId="164" fontId="4" fillId="4" borderId="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BBD5-81BA-4C03-BB86-9A925D747A59}">
  <dimension ref="B1:CB37"/>
  <sheetViews>
    <sheetView tabSelected="1" zoomScale="44" zoomScaleNormal="40" workbookViewId="0">
      <selection activeCell="S15" sqref="S15"/>
    </sheetView>
  </sheetViews>
  <sheetFormatPr defaultRowHeight="15"/>
  <cols>
    <col min="3" max="3" width="33.140625" customWidth="1"/>
    <col min="4" max="4" width="33.140625" style="13" customWidth="1"/>
    <col min="5" max="5" width="37.7109375" customWidth="1"/>
    <col min="6" max="6" width="8.85546875" style="13" customWidth="1"/>
    <col min="7" max="7" width="13.5703125" customWidth="1"/>
    <col min="8" max="8" width="22.42578125" style="13" customWidth="1"/>
    <col min="9" max="9" width="34.42578125" style="13" customWidth="1"/>
    <col min="11" max="11" width="18.7109375" customWidth="1"/>
    <col min="13" max="13" width="17.7109375" customWidth="1"/>
    <col min="20" max="20" width="8.5703125" customWidth="1"/>
    <col min="21" max="21" width="7.140625" customWidth="1"/>
    <col min="42" max="42" width="8.7109375"/>
  </cols>
  <sheetData>
    <row r="1" spans="2:24" ht="54" customHeight="1">
      <c r="B1" s="51" t="s">
        <v>0</v>
      </c>
      <c r="C1" s="52"/>
      <c r="D1" s="52"/>
      <c r="E1" s="53"/>
      <c r="G1" s="51" t="s">
        <v>0</v>
      </c>
      <c r="H1" s="52"/>
      <c r="I1" s="53"/>
      <c r="K1" s="75" t="s">
        <v>0</v>
      </c>
      <c r="L1" s="76"/>
      <c r="M1" s="77"/>
    </row>
    <row r="2" spans="2:24" ht="21.95" customHeight="1">
      <c r="B2" s="51" t="s">
        <v>71</v>
      </c>
      <c r="C2" s="52"/>
      <c r="D2" s="52"/>
      <c r="E2" s="53"/>
      <c r="G2" s="51" t="s">
        <v>72</v>
      </c>
      <c r="H2" s="52"/>
      <c r="I2" s="53"/>
      <c r="K2" s="60" t="s">
        <v>82</v>
      </c>
      <c r="L2" s="62"/>
      <c r="M2" s="61"/>
      <c r="P2" s="57" t="s">
        <v>56</v>
      </c>
      <c r="Q2" s="57"/>
      <c r="R2" s="57"/>
    </row>
    <row r="3" spans="2:24" ht="23.1" customHeight="1">
      <c r="B3" s="1" t="s">
        <v>1</v>
      </c>
      <c r="C3" s="8"/>
      <c r="D3" s="8"/>
      <c r="E3" s="2" t="s">
        <v>2</v>
      </c>
      <c r="G3" s="1" t="s">
        <v>1</v>
      </c>
      <c r="H3" s="8"/>
      <c r="I3" s="2" t="s">
        <v>2</v>
      </c>
      <c r="K3" s="63" t="s">
        <v>1</v>
      </c>
      <c r="L3" s="64"/>
      <c r="M3" s="65" t="s">
        <v>2</v>
      </c>
      <c r="P3" s="58" t="s">
        <v>57</v>
      </c>
      <c r="Q3" s="58"/>
      <c r="R3" s="58"/>
    </row>
    <row r="4" spans="2:24" ht="21.75" thickBot="1">
      <c r="B4" s="3" t="s">
        <v>16</v>
      </c>
      <c r="C4" s="9"/>
      <c r="D4" s="9"/>
      <c r="E4" s="4">
        <v>46334</v>
      </c>
      <c r="G4" s="3" t="s">
        <v>18</v>
      </c>
      <c r="H4" s="9"/>
      <c r="I4" s="4">
        <v>46336</v>
      </c>
      <c r="K4" s="66" t="s">
        <v>3</v>
      </c>
      <c r="L4" s="67"/>
      <c r="M4" s="4">
        <v>46349</v>
      </c>
      <c r="P4" s="59" t="s">
        <v>58</v>
      </c>
      <c r="Q4" s="59"/>
      <c r="R4" s="59"/>
    </row>
    <row r="5" spans="2:24" ht="21.6" customHeight="1" thickBot="1">
      <c r="B5" s="3" t="s">
        <v>17</v>
      </c>
      <c r="E5" s="4">
        <v>46335</v>
      </c>
      <c r="G5" s="54" t="s">
        <v>4</v>
      </c>
      <c r="H5" s="55"/>
      <c r="I5" s="4">
        <v>46339</v>
      </c>
      <c r="K5" s="68" t="s">
        <v>83</v>
      </c>
      <c r="L5" s="67"/>
      <c r="M5" s="4">
        <v>46350</v>
      </c>
    </row>
    <row r="6" spans="2:24" ht="21">
      <c r="B6" s="3" t="s">
        <v>19</v>
      </c>
      <c r="C6" s="9"/>
      <c r="D6" s="9"/>
      <c r="E6" s="4">
        <v>46337</v>
      </c>
      <c r="G6" s="3" t="s">
        <v>21</v>
      </c>
      <c r="H6" s="9"/>
      <c r="I6" s="4">
        <v>46341</v>
      </c>
      <c r="K6" s="66" t="s">
        <v>84</v>
      </c>
      <c r="L6" s="67"/>
      <c r="M6" s="4">
        <v>46351</v>
      </c>
    </row>
    <row r="7" spans="2:24" ht="21.75" thickBot="1">
      <c r="B7" s="3" t="s">
        <v>20</v>
      </c>
      <c r="C7" s="10"/>
      <c r="D7" s="10"/>
      <c r="E7" s="4">
        <v>46338</v>
      </c>
      <c r="G7" s="3" t="s">
        <v>22</v>
      </c>
      <c r="H7" s="10"/>
      <c r="I7" s="4">
        <v>46343</v>
      </c>
      <c r="K7" s="66" t="s">
        <v>85</v>
      </c>
      <c r="L7" s="69"/>
      <c r="M7" s="4">
        <v>46352</v>
      </c>
    </row>
    <row r="8" spans="2:24" ht="21.75" thickBot="1">
      <c r="B8" s="54" t="s">
        <v>4</v>
      </c>
      <c r="C8" s="55"/>
      <c r="D8" s="46"/>
      <c r="E8" s="4">
        <v>46339</v>
      </c>
      <c r="H8"/>
      <c r="I8"/>
      <c r="K8" s="70" t="s">
        <v>4</v>
      </c>
      <c r="L8" s="71"/>
      <c r="M8" s="79">
        <v>46353</v>
      </c>
    </row>
    <row r="9" spans="2:24" ht="21">
      <c r="B9" s="3" t="s">
        <v>5</v>
      </c>
      <c r="C9" s="9"/>
      <c r="D9" s="9"/>
      <c r="E9" s="4">
        <v>46340</v>
      </c>
      <c r="H9"/>
      <c r="I9"/>
      <c r="K9" s="66" t="s">
        <v>5</v>
      </c>
      <c r="L9" s="67"/>
      <c r="M9" s="4">
        <v>46354</v>
      </c>
    </row>
    <row r="10" spans="2:24" ht="21.75" thickBot="1">
      <c r="B10" s="3" t="s">
        <v>3</v>
      </c>
      <c r="C10" s="9"/>
      <c r="D10" s="9"/>
      <c r="E10" s="4">
        <v>46342</v>
      </c>
      <c r="H10"/>
      <c r="I10"/>
      <c r="K10" s="72" t="s">
        <v>86</v>
      </c>
      <c r="L10" s="73"/>
      <c r="M10" s="4">
        <v>46355</v>
      </c>
    </row>
    <row r="11" spans="2:24" ht="21.75" thickBot="1">
      <c r="B11" s="54" t="s">
        <v>4</v>
      </c>
      <c r="C11" s="55"/>
      <c r="D11" s="46"/>
      <c r="E11" s="4">
        <v>46344</v>
      </c>
      <c r="H11"/>
      <c r="I11"/>
      <c r="K11" s="78" t="s">
        <v>6</v>
      </c>
      <c r="L11" s="74"/>
      <c r="M11" s="4">
        <v>46356</v>
      </c>
    </row>
    <row r="12" spans="2:24" ht="21.75" thickBot="1">
      <c r="B12" s="6" t="s">
        <v>6</v>
      </c>
      <c r="C12" s="11"/>
      <c r="D12" s="11"/>
      <c r="E12" s="4">
        <v>46345</v>
      </c>
      <c r="H12"/>
      <c r="I12"/>
    </row>
    <row r="13" spans="2:24" ht="21.6" customHeight="1" thickBot="1">
      <c r="B13" s="54" t="s">
        <v>4</v>
      </c>
      <c r="C13" s="56"/>
      <c r="D13" s="50"/>
      <c r="E13" s="49">
        <v>46346</v>
      </c>
      <c r="H13"/>
      <c r="I13"/>
    </row>
    <row r="14" spans="2:24" ht="27" customHeight="1">
      <c r="B14" s="3" t="s">
        <v>6</v>
      </c>
      <c r="C14" s="48"/>
      <c r="D14" s="12"/>
      <c r="E14" s="49">
        <v>46347</v>
      </c>
      <c r="H14"/>
      <c r="I14"/>
    </row>
    <row r="15" spans="2:24" ht="18">
      <c r="H15"/>
      <c r="I15"/>
      <c r="U15" s="5"/>
      <c r="V15" s="5"/>
      <c r="W15" s="7"/>
      <c r="X15" s="14"/>
    </row>
    <row r="16" spans="2:24">
      <c r="H16"/>
      <c r="I16"/>
    </row>
    <row r="17" spans="2:80" ht="56.45" customHeight="1">
      <c r="AJ17" s="43" t="s">
        <v>62</v>
      </c>
    </row>
    <row r="18" spans="2:80" ht="22.5" customHeight="1">
      <c r="B18" s="35"/>
      <c r="C18" s="35"/>
      <c r="D18" s="36"/>
      <c r="E18" s="35"/>
      <c r="F18" s="36"/>
      <c r="G18" s="35"/>
      <c r="H18" s="36"/>
      <c r="I18" s="41" t="s">
        <v>81</v>
      </c>
      <c r="J18" s="37">
        <f>17-J37</f>
        <v>16</v>
      </c>
      <c r="K18" s="37">
        <f t="shared" ref="K18:AS18" si="0">17-K37</f>
        <v>15</v>
      </c>
      <c r="L18" s="37">
        <f t="shared" si="0"/>
        <v>15</v>
      </c>
      <c r="M18" s="37">
        <f t="shared" si="0"/>
        <v>15</v>
      </c>
      <c r="N18" s="37"/>
      <c r="O18" s="37">
        <f t="shared" si="0"/>
        <v>14</v>
      </c>
      <c r="P18" s="37">
        <f t="shared" si="0"/>
        <v>13</v>
      </c>
      <c r="Q18" s="37">
        <f t="shared" si="0"/>
        <v>12</v>
      </c>
      <c r="R18" s="37">
        <f t="shared" si="0"/>
        <v>12</v>
      </c>
      <c r="S18" s="37">
        <f t="shared" si="0"/>
        <v>11</v>
      </c>
      <c r="T18" s="37">
        <f t="shared" si="0"/>
        <v>10</v>
      </c>
      <c r="U18" s="37"/>
      <c r="V18" s="37">
        <f t="shared" si="0"/>
        <v>9</v>
      </c>
      <c r="W18" s="37">
        <f t="shared" si="0"/>
        <v>7</v>
      </c>
      <c r="X18" s="37">
        <f t="shared" si="0"/>
        <v>7</v>
      </c>
      <c r="Y18" s="37">
        <f t="shared" si="0"/>
        <v>6</v>
      </c>
      <c r="Z18" s="37">
        <f t="shared" si="0"/>
        <v>6</v>
      </c>
      <c r="AA18" s="37">
        <f t="shared" si="0"/>
        <v>5</v>
      </c>
      <c r="AB18" s="37"/>
      <c r="AC18" s="37">
        <f t="shared" si="0"/>
        <v>6</v>
      </c>
      <c r="AD18" s="37">
        <f t="shared" si="0"/>
        <v>8</v>
      </c>
      <c r="AE18" s="37">
        <f t="shared" si="0"/>
        <v>8</v>
      </c>
      <c r="AF18" s="37">
        <f t="shared" si="0"/>
        <v>11</v>
      </c>
      <c r="AG18" s="37">
        <f t="shared" si="0"/>
        <v>12</v>
      </c>
      <c r="AH18" s="37">
        <f t="shared" si="0"/>
        <v>11</v>
      </c>
      <c r="AI18" s="37"/>
      <c r="AJ18" s="37">
        <f t="shared" si="0"/>
        <v>16</v>
      </c>
      <c r="AK18" s="37">
        <f t="shared" si="0"/>
        <v>15</v>
      </c>
      <c r="AL18" s="37">
        <f t="shared" si="0"/>
        <v>15</v>
      </c>
      <c r="AM18" s="37">
        <f t="shared" si="0"/>
        <v>16</v>
      </c>
      <c r="AN18" s="37">
        <f t="shared" si="0"/>
        <v>16</v>
      </c>
      <c r="AO18" s="37">
        <f t="shared" si="0"/>
        <v>16</v>
      </c>
      <c r="AP18" s="37"/>
      <c r="AQ18" s="37">
        <f t="shared" si="0"/>
        <v>15</v>
      </c>
      <c r="AR18" s="37">
        <f t="shared" si="0"/>
        <v>14</v>
      </c>
      <c r="AS18" s="37">
        <f t="shared" si="0"/>
        <v>16</v>
      </c>
      <c r="AT18" s="35"/>
    </row>
    <row r="19" spans="2:80" ht="170.1" customHeight="1">
      <c r="B19" s="29" t="s">
        <v>7</v>
      </c>
      <c r="C19" s="29" t="s">
        <v>8</v>
      </c>
      <c r="D19" s="29" t="s">
        <v>75</v>
      </c>
      <c r="E19" s="29" t="s">
        <v>60</v>
      </c>
      <c r="F19" s="29" t="s">
        <v>9</v>
      </c>
      <c r="G19" s="30" t="s">
        <v>10</v>
      </c>
      <c r="H19" s="31" t="s">
        <v>11</v>
      </c>
      <c r="I19" s="32" t="s">
        <v>12</v>
      </c>
      <c r="J19" s="38">
        <v>46321</v>
      </c>
      <c r="K19" s="38">
        <v>46322</v>
      </c>
      <c r="L19" s="38">
        <v>46323</v>
      </c>
      <c r="M19" s="38">
        <v>46324</v>
      </c>
      <c r="N19" s="33">
        <v>46325</v>
      </c>
      <c r="O19" s="33">
        <v>46326</v>
      </c>
      <c r="P19" s="38">
        <v>46327</v>
      </c>
      <c r="Q19" s="38">
        <v>46328</v>
      </c>
      <c r="R19" s="38">
        <v>46329</v>
      </c>
      <c r="S19" s="38">
        <v>46330</v>
      </c>
      <c r="T19" s="38">
        <v>46331</v>
      </c>
      <c r="U19" s="33">
        <v>46332</v>
      </c>
      <c r="V19" s="33">
        <v>46333</v>
      </c>
      <c r="W19" s="38">
        <v>46334</v>
      </c>
      <c r="X19" s="38">
        <v>46335</v>
      </c>
      <c r="Y19" s="38">
        <v>46336</v>
      </c>
      <c r="Z19" s="38">
        <v>46337</v>
      </c>
      <c r="AA19" s="38">
        <v>46338</v>
      </c>
      <c r="AB19" s="33">
        <v>46339</v>
      </c>
      <c r="AC19" s="33">
        <v>46340</v>
      </c>
      <c r="AD19" s="38">
        <v>46341</v>
      </c>
      <c r="AE19" s="38">
        <v>46342</v>
      </c>
      <c r="AF19" s="38">
        <v>46343</v>
      </c>
      <c r="AG19" s="38">
        <v>46344</v>
      </c>
      <c r="AH19" s="38">
        <v>46345</v>
      </c>
      <c r="AI19" s="33">
        <v>46346</v>
      </c>
      <c r="AJ19" s="33">
        <v>46347</v>
      </c>
      <c r="AK19" s="38">
        <v>46348</v>
      </c>
      <c r="AL19" s="38">
        <v>46349</v>
      </c>
      <c r="AM19" s="38">
        <v>46350</v>
      </c>
      <c r="AN19" s="38">
        <v>46351</v>
      </c>
      <c r="AO19" s="38">
        <v>46352</v>
      </c>
      <c r="AP19" s="33">
        <v>46353</v>
      </c>
      <c r="AQ19" s="33">
        <v>46354</v>
      </c>
      <c r="AR19" s="38">
        <v>46355</v>
      </c>
      <c r="AS19" s="38">
        <v>46356</v>
      </c>
      <c r="AT19" s="34" t="s">
        <v>14</v>
      </c>
      <c r="CB19" s="23"/>
    </row>
    <row r="20" spans="2:80" ht="88.5" customHeight="1">
      <c r="B20" s="15">
        <f>ROW()-19</f>
        <v>1</v>
      </c>
      <c r="C20" s="16" t="s">
        <v>45</v>
      </c>
      <c r="D20" s="47" t="s">
        <v>79</v>
      </c>
      <c r="E20" s="17" t="s">
        <v>59</v>
      </c>
      <c r="F20" s="18" t="s">
        <v>34</v>
      </c>
      <c r="G20" s="21"/>
      <c r="H20" s="19"/>
      <c r="I20" s="19"/>
      <c r="J20" s="24"/>
      <c r="K20" s="25"/>
      <c r="L20" s="25"/>
      <c r="M20" s="25"/>
      <c r="N20" s="39"/>
      <c r="O20" s="25"/>
      <c r="P20" s="25"/>
      <c r="Q20" s="25"/>
      <c r="R20" s="25"/>
      <c r="S20" s="25"/>
      <c r="T20" s="25"/>
      <c r="U20" s="39"/>
      <c r="V20" s="39"/>
      <c r="W20" s="25"/>
      <c r="X20" s="25"/>
      <c r="Y20" s="26">
        <v>1</v>
      </c>
      <c r="Z20" s="25"/>
      <c r="AA20" s="25"/>
      <c r="AB20" s="39"/>
      <c r="AC20" s="25"/>
      <c r="AD20" s="25"/>
      <c r="AE20" s="25"/>
      <c r="AF20" s="26">
        <v>1</v>
      </c>
      <c r="AG20" s="25"/>
      <c r="AH20" s="25"/>
      <c r="AI20" s="39"/>
      <c r="AJ20" s="25"/>
      <c r="AK20" s="25"/>
      <c r="AL20" s="25"/>
      <c r="AM20" s="25"/>
      <c r="AN20" s="25"/>
      <c r="AO20" s="25"/>
      <c r="AP20" s="39"/>
      <c r="AQ20" s="25"/>
      <c r="AR20" s="25"/>
      <c r="AS20" s="25"/>
      <c r="AT20" s="28">
        <f>SUM(J20:AS20)</f>
        <v>2</v>
      </c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</row>
    <row r="21" spans="2:80" ht="88.5" customHeight="1">
      <c r="B21" s="15">
        <f t="shared" ref="B21:B36" si="1">ROW()-19</f>
        <v>2</v>
      </c>
      <c r="C21" s="16" t="s">
        <v>46</v>
      </c>
      <c r="D21" s="47" t="s">
        <v>79</v>
      </c>
      <c r="E21" s="17" t="s">
        <v>61</v>
      </c>
      <c r="F21" s="18" t="s">
        <v>35</v>
      </c>
      <c r="G21" s="21"/>
      <c r="H21" s="19"/>
      <c r="I21" s="19"/>
      <c r="J21" s="24"/>
      <c r="K21" s="25"/>
      <c r="L21" s="25"/>
      <c r="M21" s="25"/>
      <c r="N21" s="39"/>
      <c r="O21" s="25"/>
      <c r="P21" s="25"/>
      <c r="Q21" s="25"/>
      <c r="R21" s="25"/>
      <c r="S21" s="25"/>
      <c r="T21" s="25"/>
      <c r="U21" s="39"/>
      <c r="V21" s="39"/>
      <c r="W21" s="25"/>
      <c r="X21" s="25"/>
      <c r="Y21" s="25"/>
      <c r="Z21" s="25"/>
      <c r="AA21" s="26">
        <v>1</v>
      </c>
      <c r="AB21" s="39"/>
      <c r="AC21" s="26">
        <v>1</v>
      </c>
      <c r="AD21" s="25"/>
      <c r="AE21" s="25"/>
      <c r="AF21" s="25"/>
      <c r="AG21" s="25"/>
      <c r="AH21" s="25"/>
      <c r="AI21" s="39"/>
      <c r="AJ21" s="25"/>
      <c r="AK21" s="25"/>
      <c r="AL21" s="25"/>
      <c r="AM21" s="25"/>
      <c r="AN21" s="25"/>
      <c r="AO21" s="25"/>
      <c r="AP21" s="39"/>
      <c r="AQ21" s="25"/>
      <c r="AR21" s="25"/>
      <c r="AS21" s="25"/>
      <c r="AT21" s="28">
        <f t="shared" ref="AT21:AT35" si="2">SUM(J21:AS21)</f>
        <v>2</v>
      </c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</row>
    <row r="22" spans="2:80" ht="88.5" customHeight="1">
      <c r="B22" s="15">
        <f t="shared" si="1"/>
        <v>3</v>
      </c>
      <c r="C22" s="16" t="s">
        <v>23</v>
      </c>
      <c r="D22" s="47" t="s">
        <v>74</v>
      </c>
      <c r="E22" s="17" t="s">
        <v>42</v>
      </c>
      <c r="F22" s="18" t="s">
        <v>35</v>
      </c>
      <c r="G22" s="21" t="s">
        <v>48</v>
      </c>
      <c r="H22" s="22">
        <v>46330</v>
      </c>
      <c r="I22" s="22">
        <v>46335</v>
      </c>
      <c r="J22" s="24"/>
      <c r="K22" s="25"/>
      <c r="L22" s="25"/>
      <c r="M22" s="25"/>
      <c r="N22" s="39"/>
      <c r="O22" s="25"/>
      <c r="P22" s="25"/>
      <c r="Q22" s="25"/>
      <c r="R22" s="25"/>
      <c r="S22" s="26">
        <v>1</v>
      </c>
      <c r="T22" s="26">
        <v>1</v>
      </c>
      <c r="U22" s="39">
        <v>1</v>
      </c>
      <c r="V22" s="39">
        <v>1</v>
      </c>
      <c r="W22" s="26">
        <v>1</v>
      </c>
      <c r="X22" s="26">
        <v>1</v>
      </c>
      <c r="Y22" s="25"/>
      <c r="Z22" s="25"/>
      <c r="AA22" s="25"/>
      <c r="AB22" s="39"/>
      <c r="AC22" s="25"/>
      <c r="AD22" s="25"/>
      <c r="AE22" s="25"/>
      <c r="AF22" s="25"/>
      <c r="AG22" s="25"/>
      <c r="AH22" s="25"/>
      <c r="AI22" s="39"/>
      <c r="AJ22" s="25"/>
      <c r="AK22" s="25"/>
      <c r="AL22" s="25"/>
      <c r="AM22" s="25"/>
      <c r="AN22" s="25"/>
      <c r="AO22" s="25"/>
      <c r="AP22" s="39"/>
      <c r="AQ22" s="25"/>
      <c r="AR22" s="25"/>
      <c r="AS22" s="25"/>
      <c r="AT22" s="28">
        <f t="shared" si="2"/>
        <v>6</v>
      </c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</row>
    <row r="23" spans="2:80" ht="88.5" customHeight="1">
      <c r="B23" s="15">
        <f t="shared" si="1"/>
        <v>4</v>
      </c>
      <c r="C23" s="16" t="s">
        <v>24</v>
      </c>
      <c r="D23" s="47" t="s">
        <v>76</v>
      </c>
      <c r="E23" s="17" t="s">
        <v>43</v>
      </c>
      <c r="F23" s="18" t="s">
        <v>35</v>
      </c>
      <c r="G23" s="21" t="s">
        <v>49</v>
      </c>
      <c r="H23" s="22">
        <v>46321</v>
      </c>
      <c r="I23" s="22">
        <v>46340</v>
      </c>
      <c r="J23" s="26">
        <v>1</v>
      </c>
      <c r="K23" s="26">
        <v>1</v>
      </c>
      <c r="L23" s="26">
        <v>1</v>
      </c>
      <c r="M23" s="26">
        <v>1</v>
      </c>
      <c r="N23" s="39">
        <v>1</v>
      </c>
      <c r="O23" s="26">
        <v>1</v>
      </c>
      <c r="P23" s="26">
        <v>1</v>
      </c>
      <c r="Q23" s="26">
        <v>1</v>
      </c>
      <c r="R23" s="26">
        <v>1</v>
      </c>
      <c r="S23" s="26">
        <v>1</v>
      </c>
      <c r="T23" s="26">
        <v>1</v>
      </c>
      <c r="U23" s="39">
        <v>1</v>
      </c>
      <c r="V23" s="39">
        <v>1</v>
      </c>
      <c r="W23" s="26">
        <v>1</v>
      </c>
      <c r="X23" s="26">
        <v>1</v>
      </c>
      <c r="Y23" s="26">
        <v>1</v>
      </c>
      <c r="Z23" s="26">
        <v>1</v>
      </c>
      <c r="AA23" s="26">
        <v>1</v>
      </c>
      <c r="AB23" s="39">
        <v>1</v>
      </c>
      <c r="AC23" s="26">
        <v>1</v>
      </c>
      <c r="AD23" s="25"/>
      <c r="AE23" s="25"/>
      <c r="AF23" s="25"/>
      <c r="AG23" s="25"/>
      <c r="AH23" s="25"/>
      <c r="AI23" s="39"/>
      <c r="AJ23" s="25"/>
      <c r="AK23" s="25"/>
      <c r="AL23" s="25"/>
      <c r="AM23" s="25"/>
      <c r="AN23" s="25"/>
      <c r="AO23" s="25"/>
      <c r="AP23" s="39"/>
      <c r="AQ23" s="25"/>
      <c r="AR23" s="25"/>
      <c r="AS23" s="25"/>
      <c r="AT23" s="28">
        <f>SUM(J23:AS23)</f>
        <v>20</v>
      </c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</row>
    <row r="24" spans="2:80" ht="88.5" customHeight="1">
      <c r="B24" s="15">
        <f t="shared" si="1"/>
        <v>5</v>
      </c>
      <c r="C24" s="42" t="s">
        <v>26</v>
      </c>
      <c r="D24" s="47" t="s">
        <v>77</v>
      </c>
      <c r="E24" s="17" t="s">
        <v>63</v>
      </c>
      <c r="F24" s="18" t="s">
        <v>70</v>
      </c>
      <c r="G24" s="21"/>
      <c r="H24" s="22">
        <v>46314</v>
      </c>
      <c r="I24" s="22">
        <v>46325</v>
      </c>
      <c r="J24" s="24"/>
      <c r="K24" s="25"/>
      <c r="L24" s="25"/>
      <c r="M24" s="25"/>
      <c r="N24" s="39"/>
      <c r="O24" s="25"/>
      <c r="P24" s="25"/>
      <c r="Q24" s="25"/>
      <c r="R24" s="25"/>
      <c r="S24" s="25"/>
      <c r="T24" s="25"/>
      <c r="U24" s="39"/>
      <c r="V24" s="39"/>
      <c r="W24" s="25"/>
      <c r="X24" s="25"/>
      <c r="Y24" s="25"/>
      <c r="Z24" s="25"/>
      <c r="AA24" s="25"/>
      <c r="AB24" s="39"/>
      <c r="AC24" s="25"/>
      <c r="AD24" s="25"/>
      <c r="AE24" s="25"/>
      <c r="AF24" s="25"/>
      <c r="AG24" s="25"/>
      <c r="AH24" s="45">
        <v>1</v>
      </c>
      <c r="AI24" s="39">
        <v>1</v>
      </c>
      <c r="AJ24" s="45">
        <v>1</v>
      </c>
      <c r="AK24" s="45">
        <v>1</v>
      </c>
      <c r="AL24" s="45">
        <v>1</v>
      </c>
      <c r="AM24" s="45">
        <v>1</v>
      </c>
      <c r="AN24" s="45">
        <v>1</v>
      </c>
      <c r="AO24" s="45">
        <v>1</v>
      </c>
      <c r="AP24" s="39">
        <v>1</v>
      </c>
      <c r="AQ24" s="45">
        <v>1</v>
      </c>
      <c r="AR24" s="45">
        <v>1</v>
      </c>
      <c r="AS24" s="45">
        <v>1</v>
      </c>
      <c r="AT24" s="28">
        <f t="shared" si="2"/>
        <v>12</v>
      </c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</row>
    <row r="25" spans="2:80" ht="88.5" customHeight="1">
      <c r="B25" s="15">
        <f t="shared" si="1"/>
        <v>6</v>
      </c>
      <c r="C25" s="42" t="s">
        <v>13</v>
      </c>
      <c r="D25" s="47" t="s">
        <v>76</v>
      </c>
      <c r="E25" s="17" t="s">
        <v>64</v>
      </c>
      <c r="F25" s="18" t="s">
        <v>80</v>
      </c>
      <c r="G25" s="44" t="s">
        <v>65</v>
      </c>
      <c r="H25" s="22">
        <v>46336</v>
      </c>
      <c r="I25" s="22" t="s">
        <v>69</v>
      </c>
      <c r="J25" s="24"/>
      <c r="K25" s="25"/>
      <c r="L25" s="25"/>
      <c r="M25" s="25"/>
      <c r="N25" s="39"/>
      <c r="O25" s="25"/>
      <c r="P25" s="25"/>
      <c r="Q25" s="25"/>
      <c r="R25" s="25"/>
      <c r="S25" s="25"/>
      <c r="T25" s="25"/>
      <c r="U25" s="39"/>
      <c r="V25" s="39"/>
      <c r="W25" s="25"/>
      <c r="X25" s="25"/>
      <c r="Y25" s="26">
        <v>1</v>
      </c>
      <c r="Z25" s="26">
        <v>1</v>
      </c>
      <c r="AA25" s="26">
        <v>1</v>
      </c>
      <c r="AB25" s="39">
        <v>1</v>
      </c>
      <c r="AC25" s="26">
        <v>1</v>
      </c>
      <c r="AD25" s="26">
        <v>1</v>
      </c>
      <c r="AE25" s="26">
        <v>1</v>
      </c>
      <c r="AF25" s="26">
        <v>1</v>
      </c>
      <c r="AG25" s="26">
        <v>1</v>
      </c>
      <c r="AH25" s="26">
        <v>1</v>
      </c>
      <c r="AI25" s="39"/>
      <c r="AJ25" s="25"/>
      <c r="AK25" s="45">
        <v>1</v>
      </c>
      <c r="AL25" s="45">
        <v>1</v>
      </c>
      <c r="AM25" s="25"/>
      <c r="AN25" s="25"/>
      <c r="AO25" s="25"/>
      <c r="AP25" s="39"/>
      <c r="AQ25" s="45">
        <v>1</v>
      </c>
      <c r="AR25" s="45">
        <v>1</v>
      </c>
      <c r="AS25" s="25"/>
      <c r="AT25" s="28">
        <f>SUM(J25:AS25)</f>
        <v>14</v>
      </c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</row>
    <row r="26" spans="2:80" ht="88.5" customHeight="1">
      <c r="B26" s="15">
        <f t="shared" si="1"/>
        <v>7</v>
      </c>
      <c r="C26" s="16" t="s">
        <v>25</v>
      </c>
      <c r="D26" s="47" t="s">
        <v>78</v>
      </c>
      <c r="E26" s="17" t="s">
        <v>41</v>
      </c>
      <c r="F26" s="18" t="s">
        <v>35</v>
      </c>
      <c r="G26" s="21" t="s">
        <v>50</v>
      </c>
      <c r="H26" s="22">
        <v>46334</v>
      </c>
      <c r="I26" s="22">
        <v>46345</v>
      </c>
      <c r="J26" s="24"/>
      <c r="K26" s="25"/>
      <c r="L26" s="25"/>
      <c r="M26" s="25"/>
      <c r="N26" s="39"/>
      <c r="O26" s="25"/>
      <c r="P26" s="25"/>
      <c r="Q26" s="25"/>
      <c r="R26" s="25"/>
      <c r="S26" s="25"/>
      <c r="T26" s="25"/>
      <c r="U26" s="39"/>
      <c r="V26" s="39"/>
      <c r="W26" s="26">
        <v>1</v>
      </c>
      <c r="X26" s="26">
        <v>1</v>
      </c>
      <c r="Y26" s="26">
        <v>1</v>
      </c>
      <c r="Z26" s="26">
        <v>1</v>
      </c>
      <c r="AA26" s="26">
        <v>1</v>
      </c>
      <c r="AB26" s="39">
        <v>1</v>
      </c>
      <c r="AC26" s="26">
        <v>1</v>
      </c>
      <c r="AD26" s="26">
        <v>1</v>
      </c>
      <c r="AE26" s="26">
        <v>1</v>
      </c>
      <c r="AF26" s="26">
        <v>1</v>
      </c>
      <c r="AG26" s="26">
        <v>1</v>
      </c>
      <c r="AH26" s="26">
        <v>1</v>
      </c>
      <c r="AI26" s="39"/>
      <c r="AJ26" s="25"/>
      <c r="AK26" s="25"/>
      <c r="AL26" s="25"/>
      <c r="AM26" s="25"/>
      <c r="AN26" s="25"/>
      <c r="AO26" s="25"/>
      <c r="AP26" s="39"/>
      <c r="AQ26" s="25"/>
      <c r="AR26" s="25"/>
      <c r="AS26" s="25"/>
      <c r="AT26" s="28">
        <f t="shared" si="2"/>
        <v>12</v>
      </c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</row>
    <row r="27" spans="2:80" ht="88.5" customHeight="1">
      <c r="B27" s="15">
        <f t="shared" si="1"/>
        <v>8</v>
      </c>
      <c r="C27" s="16" t="s">
        <v>27</v>
      </c>
      <c r="D27" s="47" t="s">
        <v>74</v>
      </c>
      <c r="E27" s="17" t="s">
        <v>47</v>
      </c>
      <c r="F27" s="18" t="s">
        <v>35</v>
      </c>
      <c r="G27" s="21" t="s">
        <v>50</v>
      </c>
      <c r="H27" s="22">
        <v>46331</v>
      </c>
      <c r="I27" s="22">
        <v>46342</v>
      </c>
      <c r="J27" s="24"/>
      <c r="K27" s="25"/>
      <c r="L27" s="25"/>
      <c r="M27" s="25"/>
      <c r="N27" s="39"/>
      <c r="O27" s="25"/>
      <c r="P27" s="25"/>
      <c r="Q27" s="25"/>
      <c r="R27" s="25"/>
      <c r="S27" s="25"/>
      <c r="T27" s="26">
        <v>1</v>
      </c>
      <c r="U27" s="39">
        <v>1</v>
      </c>
      <c r="V27" s="39">
        <v>1</v>
      </c>
      <c r="W27" s="26">
        <v>1</v>
      </c>
      <c r="X27" s="26">
        <v>1</v>
      </c>
      <c r="Y27" s="26">
        <v>1</v>
      </c>
      <c r="Z27" s="26">
        <v>1</v>
      </c>
      <c r="AA27" s="26">
        <v>1</v>
      </c>
      <c r="AB27" s="39">
        <v>1</v>
      </c>
      <c r="AC27" s="26">
        <v>1</v>
      </c>
      <c r="AD27" s="26">
        <v>1</v>
      </c>
      <c r="AE27" s="26">
        <v>1</v>
      </c>
      <c r="AF27" s="25"/>
      <c r="AG27" s="25"/>
      <c r="AH27" s="25"/>
      <c r="AI27" s="39"/>
      <c r="AJ27" s="25"/>
      <c r="AK27" s="25"/>
      <c r="AL27" s="25"/>
      <c r="AM27" s="25"/>
      <c r="AN27" s="25"/>
      <c r="AO27" s="25"/>
      <c r="AP27" s="39"/>
      <c r="AQ27" s="25"/>
      <c r="AR27" s="25"/>
      <c r="AS27" s="25"/>
      <c r="AT27" s="28">
        <f t="shared" si="2"/>
        <v>12</v>
      </c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</row>
    <row r="28" spans="2:80" ht="88.5" customHeight="1">
      <c r="B28" s="15">
        <f t="shared" si="1"/>
        <v>9</v>
      </c>
      <c r="C28" s="16" t="s">
        <v>28</v>
      </c>
      <c r="D28" s="47" t="s">
        <v>77</v>
      </c>
      <c r="E28" s="17" t="s">
        <v>36</v>
      </c>
      <c r="F28" s="18" t="s">
        <v>35</v>
      </c>
      <c r="G28" s="21" t="s">
        <v>52</v>
      </c>
      <c r="H28" s="22">
        <v>46337</v>
      </c>
      <c r="I28" s="22">
        <v>46345</v>
      </c>
      <c r="J28" s="24"/>
      <c r="K28" s="25"/>
      <c r="L28" s="25"/>
      <c r="M28" s="25"/>
      <c r="N28" s="39"/>
      <c r="O28" s="25"/>
      <c r="P28" s="25"/>
      <c r="Q28" s="25"/>
      <c r="R28" s="25"/>
      <c r="S28" s="25"/>
      <c r="T28" s="25"/>
      <c r="U28" s="39"/>
      <c r="V28" s="39"/>
      <c r="W28" s="25"/>
      <c r="X28" s="25"/>
      <c r="Y28" s="25"/>
      <c r="Z28" s="26">
        <v>1</v>
      </c>
      <c r="AA28" s="26">
        <v>1</v>
      </c>
      <c r="AB28" s="39">
        <v>1</v>
      </c>
      <c r="AC28" s="26">
        <v>1</v>
      </c>
      <c r="AD28" s="26">
        <v>1</v>
      </c>
      <c r="AE28" s="26">
        <v>1</v>
      </c>
      <c r="AF28" s="26">
        <v>1</v>
      </c>
      <c r="AG28" s="26">
        <v>1</v>
      </c>
      <c r="AH28" s="26">
        <v>1</v>
      </c>
      <c r="AI28" s="39"/>
      <c r="AJ28" s="25"/>
      <c r="AK28" s="25"/>
      <c r="AL28" s="25"/>
      <c r="AM28" s="25"/>
      <c r="AN28" s="25"/>
      <c r="AO28" s="25"/>
      <c r="AP28" s="39"/>
      <c r="AQ28" s="25"/>
      <c r="AR28" s="25"/>
      <c r="AS28" s="25"/>
      <c r="AT28" s="28">
        <f t="shared" si="2"/>
        <v>9</v>
      </c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</row>
    <row r="29" spans="2:80" ht="88.5" customHeight="1">
      <c r="B29" s="15">
        <f t="shared" si="1"/>
        <v>10</v>
      </c>
      <c r="C29" s="42" t="s">
        <v>15</v>
      </c>
      <c r="D29" s="47" t="s">
        <v>76</v>
      </c>
      <c r="E29" s="17" t="s">
        <v>67</v>
      </c>
      <c r="F29" s="18" t="s">
        <v>80</v>
      </c>
      <c r="G29" s="44" t="s">
        <v>66</v>
      </c>
      <c r="H29" s="22">
        <v>46328</v>
      </c>
      <c r="I29" s="22" t="s">
        <v>68</v>
      </c>
      <c r="J29" s="24"/>
      <c r="K29" s="25"/>
      <c r="L29" s="25"/>
      <c r="M29" s="25"/>
      <c r="N29" s="39"/>
      <c r="O29" s="25"/>
      <c r="P29" s="25"/>
      <c r="Q29" s="26">
        <v>1</v>
      </c>
      <c r="R29" s="26">
        <v>1</v>
      </c>
      <c r="S29" s="26">
        <v>1</v>
      </c>
      <c r="T29" s="26">
        <v>1</v>
      </c>
      <c r="U29" s="39">
        <v>1</v>
      </c>
      <c r="V29" s="39">
        <v>1</v>
      </c>
      <c r="W29" s="26">
        <v>1</v>
      </c>
      <c r="X29" s="26">
        <v>1</v>
      </c>
      <c r="Y29" s="26">
        <v>1</v>
      </c>
      <c r="Z29" s="26">
        <v>1</v>
      </c>
      <c r="AA29" s="26">
        <v>1</v>
      </c>
      <c r="AB29" s="39">
        <v>1</v>
      </c>
      <c r="AC29" s="26">
        <v>1</v>
      </c>
      <c r="AD29" s="26">
        <v>1</v>
      </c>
      <c r="AE29" s="26">
        <v>1</v>
      </c>
      <c r="AF29" s="26">
        <v>1</v>
      </c>
      <c r="AG29" s="26">
        <v>1</v>
      </c>
      <c r="AH29" s="26">
        <v>1</v>
      </c>
      <c r="AI29" s="39"/>
      <c r="AJ29" s="25"/>
      <c r="AK29" s="25"/>
      <c r="AL29" s="25"/>
      <c r="AM29" s="25"/>
      <c r="AN29" s="25"/>
      <c r="AO29" s="25"/>
      <c r="AP29" s="39"/>
      <c r="AQ29" s="25"/>
      <c r="AR29" s="45">
        <v>1</v>
      </c>
      <c r="AS29" s="25"/>
      <c r="AT29" s="28">
        <f>SUM(J29:AS29)</f>
        <v>19</v>
      </c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</row>
    <row r="30" spans="2:80" ht="88.5" customHeight="1">
      <c r="B30" s="15">
        <f t="shared" si="1"/>
        <v>11</v>
      </c>
      <c r="C30" s="16" t="s">
        <v>29</v>
      </c>
      <c r="D30" s="47" t="s">
        <v>74</v>
      </c>
      <c r="E30" s="17" t="s">
        <v>37</v>
      </c>
      <c r="F30" s="18" t="s">
        <v>35</v>
      </c>
      <c r="G30" s="21" t="s">
        <v>53</v>
      </c>
      <c r="H30" s="22">
        <v>46326</v>
      </c>
      <c r="I30" s="22">
        <v>46342</v>
      </c>
      <c r="J30" s="24"/>
      <c r="K30" s="25"/>
      <c r="L30" s="25"/>
      <c r="M30" s="25"/>
      <c r="N30" s="39"/>
      <c r="O30" s="26">
        <v>1</v>
      </c>
      <c r="P30" s="26">
        <v>1</v>
      </c>
      <c r="Q30" s="26">
        <v>1</v>
      </c>
      <c r="R30" s="26">
        <v>1</v>
      </c>
      <c r="S30" s="26">
        <v>1</v>
      </c>
      <c r="T30" s="26">
        <v>1</v>
      </c>
      <c r="U30" s="39">
        <v>1</v>
      </c>
      <c r="V30" s="39">
        <v>1</v>
      </c>
      <c r="W30" s="26">
        <v>1</v>
      </c>
      <c r="X30" s="26">
        <v>1</v>
      </c>
      <c r="Y30" s="26">
        <v>1</v>
      </c>
      <c r="Z30" s="26">
        <v>1</v>
      </c>
      <c r="AA30" s="26">
        <v>1</v>
      </c>
      <c r="AB30" s="39">
        <v>1</v>
      </c>
      <c r="AC30" s="26">
        <v>1</v>
      </c>
      <c r="AD30" s="26">
        <v>1</v>
      </c>
      <c r="AE30" s="26">
        <v>1</v>
      </c>
      <c r="AF30" s="25"/>
      <c r="AG30" s="25"/>
      <c r="AH30" s="25"/>
      <c r="AI30" s="39"/>
      <c r="AJ30" s="25"/>
      <c r="AK30" s="25"/>
      <c r="AL30" s="25"/>
      <c r="AM30" s="25"/>
      <c r="AN30" s="25"/>
      <c r="AO30" s="25"/>
      <c r="AP30" s="39"/>
      <c r="AQ30" s="25"/>
      <c r="AR30" s="25"/>
      <c r="AS30" s="25"/>
      <c r="AT30" s="28">
        <f t="shared" si="2"/>
        <v>17</v>
      </c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</row>
    <row r="31" spans="2:80" ht="88.5" customHeight="1">
      <c r="B31" s="15">
        <f t="shared" si="1"/>
        <v>12</v>
      </c>
      <c r="C31" s="16" t="s">
        <v>30</v>
      </c>
      <c r="D31" s="47" t="s">
        <v>76</v>
      </c>
      <c r="E31" s="17" t="s">
        <v>38</v>
      </c>
      <c r="F31" s="18" t="s">
        <v>35</v>
      </c>
      <c r="G31" s="21" t="s">
        <v>54</v>
      </c>
      <c r="H31" s="22">
        <v>46327</v>
      </c>
      <c r="I31" s="22">
        <v>46345</v>
      </c>
      <c r="J31" s="25"/>
      <c r="K31" s="25"/>
      <c r="L31" s="25"/>
      <c r="M31" s="25"/>
      <c r="N31" s="39"/>
      <c r="O31" s="25"/>
      <c r="P31" s="26">
        <v>1</v>
      </c>
      <c r="Q31" s="26">
        <v>1</v>
      </c>
      <c r="R31" s="26">
        <v>1</v>
      </c>
      <c r="S31" s="26">
        <v>1</v>
      </c>
      <c r="T31" s="26">
        <v>1</v>
      </c>
      <c r="U31" s="39">
        <v>1</v>
      </c>
      <c r="V31" s="39">
        <v>1</v>
      </c>
      <c r="W31" s="26">
        <v>1</v>
      </c>
      <c r="X31" s="26">
        <v>1</v>
      </c>
      <c r="Y31" s="26">
        <v>1</v>
      </c>
      <c r="Z31" s="26">
        <v>1</v>
      </c>
      <c r="AA31" s="26">
        <v>1</v>
      </c>
      <c r="AB31" s="39">
        <v>1</v>
      </c>
      <c r="AC31" s="26">
        <v>1</v>
      </c>
      <c r="AD31" s="26">
        <v>1</v>
      </c>
      <c r="AE31" s="26">
        <v>1</v>
      </c>
      <c r="AF31" s="26">
        <v>1</v>
      </c>
      <c r="AG31" s="26">
        <v>1</v>
      </c>
      <c r="AH31" s="26">
        <v>1</v>
      </c>
      <c r="AI31" s="39"/>
      <c r="AJ31" s="25"/>
      <c r="AK31" s="25"/>
      <c r="AL31" s="25"/>
      <c r="AM31" s="25"/>
      <c r="AN31" s="25"/>
      <c r="AO31" s="25"/>
      <c r="AP31" s="39"/>
      <c r="AQ31" s="25"/>
      <c r="AR31" s="25"/>
      <c r="AS31" s="25"/>
      <c r="AT31" s="28">
        <f t="shared" si="2"/>
        <v>19</v>
      </c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</row>
    <row r="32" spans="2:80" ht="88.5" customHeight="1">
      <c r="B32" s="15">
        <f t="shared" si="1"/>
        <v>13</v>
      </c>
      <c r="C32" s="16" t="s">
        <v>31</v>
      </c>
      <c r="D32" s="47" t="s">
        <v>74</v>
      </c>
      <c r="E32" s="17" t="s">
        <v>44</v>
      </c>
      <c r="F32" s="18" t="s">
        <v>35</v>
      </c>
      <c r="G32" s="21" t="s">
        <v>52</v>
      </c>
      <c r="H32" s="22">
        <v>46334</v>
      </c>
      <c r="I32" s="22">
        <v>46342</v>
      </c>
      <c r="J32" s="25"/>
      <c r="K32" s="25"/>
      <c r="L32" s="25"/>
      <c r="M32" s="25"/>
      <c r="N32" s="39"/>
      <c r="O32" s="25"/>
      <c r="P32" s="25"/>
      <c r="Q32" s="25"/>
      <c r="R32" s="25"/>
      <c r="S32" s="25"/>
      <c r="T32" s="25"/>
      <c r="U32" s="39"/>
      <c r="V32" s="39"/>
      <c r="W32" s="26">
        <v>1</v>
      </c>
      <c r="X32" s="26">
        <v>1</v>
      </c>
      <c r="Y32" s="26">
        <v>1</v>
      </c>
      <c r="Z32" s="26">
        <v>1</v>
      </c>
      <c r="AA32" s="26">
        <v>1</v>
      </c>
      <c r="AB32" s="39">
        <v>1</v>
      </c>
      <c r="AC32" s="26">
        <v>1</v>
      </c>
      <c r="AD32" s="26">
        <v>1</v>
      </c>
      <c r="AE32" s="26">
        <v>1</v>
      </c>
      <c r="AF32" s="25"/>
      <c r="AG32" s="25"/>
      <c r="AH32" s="25"/>
      <c r="AI32" s="39"/>
      <c r="AJ32" s="25"/>
      <c r="AK32" s="25"/>
      <c r="AL32" s="25"/>
      <c r="AM32" s="25"/>
      <c r="AN32" s="25"/>
      <c r="AO32" s="25"/>
      <c r="AP32" s="39"/>
      <c r="AQ32" s="25"/>
      <c r="AR32" s="25"/>
      <c r="AS32" s="25"/>
      <c r="AT32" s="28">
        <f t="shared" si="2"/>
        <v>9</v>
      </c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</row>
    <row r="33" spans="2:80" ht="88.5" customHeight="1">
      <c r="B33" s="15">
        <f t="shared" si="1"/>
        <v>14</v>
      </c>
      <c r="C33" s="20" t="s">
        <v>32</v>
      </c>
      <c r="D33" s="47" t="s">
        <v>78</v>
      </c>
      <c r="E33" s="17" t="s">
        <v>39</v>
      </c>
      <c r="F33" s="18" t="s">
        <v>35</v>
      </c>
      <c r="G33" s="21" t="s">
        <v>53</v>
      </c>
      <c r="H33" s="22">
        <v>46322</v>
      </c>
      <c r="I33" s="22">
        <v>46338</v>
      </c>
      <c r="J33" s="25"/>
      <c r="K33" s="26">
        <v>1</v>
      </c>
      <c r="L33" s="26">
        <v>1</v>
      </c>
      <c r="M33" s="26">
        <v>1</v>
      </c>
      <c r="N33" s="39">
        <v>1</v>
      </c>
      <c r="O33" s="26">
        <v>1</v>
      </c>
      <c r="P33" s="26">
        <v>1</v>
      </c>
      <c r="Q33" s="26">
        <v>1</v>
      </c>
      <c r="R33" s="26">
        <v>1</v>
      </c>
      <c r="S33" s="26">
        <v>1</v>
      </c>
      <c r="T33" s="26">
        <v>1</v>
      </c>
      <c r="U33" s="39">
        <v>1</v>
      </c>
      <c r="V33" s="39">
        <v>1</v>
      </c>
      <c r="W33" s="26">
        <v>1</v>
      </c>
      <c r="X33" s="26">
        <v>1</v>
      </c>
      <c r="Y33" s="26">
        <v>1</v>
      </c>
      <c r="Z33" s="26">
        <v>1</v>
      </c>
      <c r="AA33" s="26">
        <v>1</v>
      </c>
      <c r="AB33" s="39"/>
      <c r="AC33" s="25"/>
      <c r="AD33" s="25"/>
      <c r="AE33" s="25"/>
      <c r="AF33" s="25"/>
      <c r="AG33" s="25"/>
      <c r="AH33" s="25"/>
      <c r="AI33" s="39"/>
      <c r="AJ33" s="25"/>
      <c r="AK33" s="25"/>
      <c r="AL33" s="25"/>
      <c r="AM33" s="25"/>
      <c r="AN33" s="25"/>
      <c r="AO33" s="25"/>
      <c r="AP33" s="39"/>
      <c r="AQ33" s="25"/>
      <c r="AR33" s="25"/>
      <c r="AS33" s="25"/>
      <c r="AT33" s="28">
        <f t="shared" si="2"/>
        <v>17</v>
      </c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</row>
    <row r="34" spans="2:80" ht="88.5" customHeight="1">
      <c r="B34" s="15">
        <f t="shared" si="1"/>
        <v>15</v>
      </c>
      <c r="C34" s="20" t="s">
        <v>55</v>
      </c>
      <c r="D34" s="47" t="s">
        <v>74</v>
      </c>
      <c r="E34" s="17"/>
      <c r="F34" s="18"/>
      <c r="G34" s="21"/>
      <c r="H34" s="22"/>
      <c r="I34" s="22"/>
      <c r="J34" s="25"/>
      <c r="K34" s="25"/>
      <c r="L34" s="25"/>
      <c r="M34" s="25"/>
      <c r="N34" s="39"/>
      <c r="O34" s="25"/>
      <c r="P34" s="25"/>
      <c r="Q34" s="25"/>
      <c r="R34" s="25"/>
      <c r="S34" s="25"/>
      <c r="T34" s="25"/>
      <c r="U34" s="39"/>
      <c r="V34" s="39"/>
      <c r="W34" s="25"/>
      <c r="X34" s="25"/>
      <c r="Y34" s="25"/>
      <c r="Z34" s="25"/>
      <c r="AA34" s="25"/>
      <c r="AB34" s="39"/>
      <c r="AC34" s="25"/>
      <c r="AD34" s="25"/>
      <c r="AE34" s="25"/>
      <c r="AF34" s="25"/>
      <c r="AG34" s="25"/>
      <c r="AH34" s="25"/>
      <c r="AI34" s="39"/>
      <c r="AJ34" s="25"/>
      <c r="AK34" s="25"/>
      <c r="AL34" s="25"/>
      <c r="AM34" s="25"/>
      <c r="AN34" s="25"/>
      <c r="AO34" s="25"/>
      <c r="AP34" s="39"/>
      <c r="AQ34" s="25"/>
      <c r="AR34" s="25"/>
      <c r="AS34" s="25"/>
      <c r="AT34" s="28">
        <f t="shared" si="2"/>
        <v>0</v>
      </c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</row>
    <row r="35" spans="2:80" ht="87.6" customHeight="1">
      <c r="B35" s="15">
        <f t="shared" si="1"/>
        <v>16</v>
      </c>
      <c r="C35" s="20" t="s">
        <v>33</v>
      </c>
      <c r="D35" s="47" t="s">
        <v>76</v>
      </c>
      <c r="E35" s="17" t="s">
        <v>40</v>
      </c>
      <c r="F35" s="18" t="s">
        <v>35</v>
      </c>
      <c r="G35" s="18" t="s">
        <v>51</v>
      </c>
      <c r="H35" s="22">
        <v>46333</v>
      </c>
      <c r="I35" s="22">
        <v>46342</v>
      </c>
      <c r="J35" s="25"/>
      <c r="K35" s="25"/>
      <c r="L35" s="25"/>
      <c r="M35" s="25"/>
      <c r="N35" s="39"/>
      <c r="O35" s="25"/>
      <c r="P35" s="25"/>
      <c r="Q35" s="25"/>
      <c r="R35" s="25"/>
      <c r="S35" s="25"/>
      <c r="T35" s="25"/>
      <c r="U35" s="39"/>
      <c r="V35" s="39">
        <v>1</v>
      </c>
      <c r="W35" s="26">
        <v>1</v>
      </c>
      <c r="X35" s="26">
        <v>1</v>
      </c>
      <c r="Y35" s="26">
        <v>1</v>
      </c>
      <c r="Z35" s="26">
        <v>1</v>
      </c>
      <c r="AA35" s="26">
        <v>1</v>
      </c>
      <c r="AB35" s="39">
        <v>1</v>
      </c>
      <c r="AC35" s="26">
        <v>1</v>
      </c>
      <c r="AD35" s="26">
        <v>1</v>
      </c>
      <c r="AE35" s="26">
        <v>1</v>
      </c>
      <c r="AF35" s="25"/>
      <c r="AG35" s="25"/>
      <c r="AH35" s="25"/>
      <c r="AI35" s="39"/>
      <c r="AJ35" s="25"/>
      <c r="AK35" s="25"/>
      <c r="AL35" s="25"/>
      <c r="AM35" s="25"/>
      <c r="AN35" s="25"/>
      <c r="AO35" s="25"/>
      <c r="AP35" s="39"/>
      <c r="AQ35" s="25"/>
      <c r="AR35" s="25"/>
      <c r="AS35" s="25"/>
      <c r="AT35" s="28">
        <f t="shared" si="2"/>
        <v>10</v>
      </c>
    </row>
    <row r="36" spans="2:80" ht="87.6" customHeight="1">
      <c r="B36" s="15">
        <f t="shared" si="1"/>
        <v>17</v>
      </c>
      <c r="C36" s="20" t="s">
        <v>73</v>
      </c>
      <c r="D36" s="47" t="s">
        <v>77</v>
      </c>
      <c r="E36" s="17"/>
      <c r="F36" s="18"/>
      <c r="G36" s="18"/>
      <c r="H36" s="22"/>
      <c r="I36" s="22"/>
      <c r="J36" s="25"/>
      <c r="K36" s="25"/>
      <c r="L36" s="25"/>
      <c r="M36" s="25"/>
      <c r="N36" s="39"/>
      <c r="O36" s="25"/>
      <c r="P36" s="25"/>
      <c r="Q36" s="25"/>
      <c r="R36" s="25"/>
      <c r="S36" s="25"/>
      <c r="T36" s="25"/>
      <c r="U36" s="39"/>
      <c r="V36" s="39"/>
      <c r="W36" s="25"/>
      <c r="X36" s="25"/>
      <c r="Y36" s="25"/>
      <c r="Z36" s="25"/>
      <c r="AA36" s="25"/>
      <c r="AB36" s="39"/>
      <c r="AC36" s="25"/>
      <c r="AD36" s="25"/>
      <c r="AE36" s="25"/>
      <c r="AF36" s="25"/>
      <c r="AG36" s="25"/>
      <c r="AH36" s="25"/>
      <c r="AI36" s="39"/>
      <c r="AJ36" s="25"/>
      <c r="AK36" s="25"/>
      <c r="AL36" s="25"/>
      <c r="AM36" s="25"/>
      <c r="AN36" s="25"/>
      <c r="AO36" s="25"/>
      <c r="AP36" s="39"/>
      <c r="AQ36" s="25"/>
      <c r="AR36" s="25"/>
      <c r="AS36" s="25"/>
      <c r="AT36" s="28"/>
    </row>
    <row r="37" spans="2:80" ht="48.6" customHeight="1">
      <c r="B37" s="35"/>
      <c r="C37" s="35"/>
      <c r="D37" s="36"/>
      <c r="E37" s="35"/>
      <c r="F37" s="36"/>
      <c r="G37" s="35"/>
      <c r="H37" s="36"/>
      <c r="I37" s="36"/>
      <c r="J37" s="27">
        <f t="shared" ref="J37:AS37" si="3">SUM(J20:J35)</f>
        <v>1</v>
      </c>
      <c r="K37" s="27">
        <f t="shared" si="3"/>
        <v>2</v>
      </c>
      <c r="L37" s="27">
        <f t="shared" si="3"/>
        <v>2</v>
      </c>
      <c r="M37" s="27">
        <f t="shared" si="3"/>
        <v>2</v>
      </c>
      <c r="N37" s="40"/>
      <c r="O37" s="27">
        <f t="shared" si="3"/>
        <v>3</v>
      </c>
      <c r="P37" s="27">
        <f t="shared" si="3"/>
        <v>4</v>
      </c>
      <c r="Q37" s="27">
        <f t="shared" si="3"/>
        <v>5</v>
      </c>
      <c r="R37" s="27">
        <f t="shared" si="3"/>
        <v>5</v>
      </c>
      <c r="S37" s="27">
        <f t="shared" si="3"/>
        <v>6</v>
      </c>
      <c r="T37" s="27">
        <f t="shared" si="3"/>
        <v>7</v>
      </c>
      <c r="U37" s="40"/>
      <c r="V37" s="40">
        <f t="shared" si="3"/>
        <v>8</v>
      </c>
      <c r="W37" s="27">
        <f t="shared" si="3"/>
        <v>10</v>
      </c>
      <c r="X37" s="27">
        <f t="shared" si="3"/>
        <v>10</v>
      </c>
      <c r="Y37" s="27">
        <f t="shared" si="3"/>
        <v>11</v>
      </c>
      <c r="Z37" s="27">
        <f t="shared" si="3"/>
        <v>11</v>
      </c>
      <c r="AA37" s="27">
        <f t="shared" si="3"/>
        <v>12</v>
      </c>
      <c r="AB37" s="40"/>
      <c r="AC37" s="27">
        <f t="shared" si="3"/>
        <v>11</v>
      </c>
      <c r="AD37" s="27">
        <f t="shared" si="3"/>
        <v>9</v>
      </c>
      <c r="AE37" s="27">
        <f t="shared" si="3"/>
        <v>9</v>
      </c>
      <c r="AF37" s="27">
        <f t="shared" si="3"/>
        <v>6</v>
      </c>
      <c r="AG37" s="27">
        <f t="shared" si="3"/>
        <v>5</v>
      </c>
      <c r="AH37" s="27">
        <f t="shared" si="3"/>
        <v>6</v>
      </c>
      <c r="AI37" s="27"/>
      <c r="AJ37" s="27">
        <f t="shared" si="3"/>
        <v>1</v>
      </c>
      <c r="AK37" s="27">
        <f>SUM(AK20:AK35)</f>
        <v>2</v>
      </c>
      <c r="AL37" s="27">
        <f t="shared" si="3"/>
        <v>2</v>
      </c>
      <c r="AM37" s="27">
        <f t="shared" si="3"/>
        <v>1</v>
      </c>
      <c r="AN37" s="27">
        <f t="shared" si="3"/>
        <v>1</v>
      </c>
      <c r="AO37" s="27">
        <f t="shared" si="3"/>
        <v>1</v>
      </c>
      <c r="AP37" s="27">
        <f t="shared" si="3"/>
        <v>1</v>
      </c>
      <c r="AQ37" s="27">
        <f t="shared" si="3"/>
        <v>2</v>
      </c>
      <c r="AR37" s="27">
        <f t="shared" si="3"/>
        <v>3</v>
      </c>
      <c r="AS37" s="27">
        <f t="shared" si="3"/>
        <v>1</v>
      </c>
      <c r="AT37" s="28"/>
    </row>
  </sheetData>
  <mergeCells count="14">
    <mergeCell ref="K1:M1"/>
    <mergeCell ref="K2:M2"/>
    <mergeCell ref="K8:L8"/>
    <mergeCell ref="B13:C13"/>
    <mergeCell ref="P2:R2"/>
    <mergeCell ref="B11:C11"/>
    <mergeCell ref="P3:R3"/>
    <mergeCell ref="P4:R4"/>
    <mergeCell ref="B1:E1"/>
    <mergeCell ref="B2:E2"/>
    <mergeCell ref="G1:I1"/>
    <mergeCell ref="G2:I2"/>
    <mergeCell ref="B8:C8"/>
    <mergeCell ref="G5:H5"/>
  </mergeCells>
  <pageMargins left="0.7" right="0.7" top="0.75" bottom="0.75" header="0.3" footer="0.3"/>
  <pageSetup orientation="portrait" horizontalDpi="0" verticalDpi="0" r:id="rId1"/>
  <ignoredErrors>
    <ignoredError sqref="J37:M37 AL37:AS37 AC37:AH37 V37:AA37 O37:T37 AJ37:AK37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CL + PL &amp; AL Level Leave Info.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Mahmudul Hasan</dc:creator>
  <cp:lastModifiedBy>Naima Sheikh</cp:lastModifiedBy>
  <dcterms:created xsi:type="dcterms:W3CDTF">2025-11-11T07:03:27Z</dcterms:created>
  <dcterms:modified xsi:type="dcterms:W3CDTF">2026-10-25T06:24:42Z</dcterms:modified>
</cp:coreProperties>
</file>